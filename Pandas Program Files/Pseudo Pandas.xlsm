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GitHub\Pseudo_Pandas\Pandas Program Files\"/>
    </mc:Choice>
  </mc:AlternateContent>
  <xr:revisionPtr revIDLastSave="0" documentId="8_{C0E934BA-E208-43E6-91D0-D5D7890A36CF}" xr6:coauthVersionLast="47" xr6:coauthVersionMax="47" xr10:uidLastSave="{00000000-0000-0000-0000-000000000000}"/>
  <bookViews>
    <workbookView xWindow="-120" yWindow="-120" windowWidth="29040" windowHeight="15720" xr2:uid="{F2ECCC86-5CB1-4597-AFB1-0A83556F6739}"/>
  </bookViews>
  <sheets>
    <sheet name="Developer Tools" sheetId="2" r:id="rId1"/>
    <sheet name="Sheet1" sheetId="1" r:id="rId2"/>
  </sheets>
  <definedNames>
    <definedName name="_xlpm.Cell" hidden="1" xlm="1">#NAME?</definedName>
    <definedName name="_xlpm.cell1" hidden="1" xlm="1">#NAME?</definedName>
    <definedName name="_xlpm.cell2" hidden="1" xlm="1">#NAME?</definedName>
    <definedName name="_xlpm.keyword" hidden="1" xlm="1">#NAME?</definedName>
    <definedName name="_xlpm.size" hidden="1" xlm="1">#NAME?</definedName>
    <definedName name="_xlpm.str" hidden="1" xlm="1">#NAME?</definedName>
    <definedName name="arrBars" comment="Array containing the bar data used in the &quot;getBar...&quot; functions">{5,6,7,8,9,10,11,14,18;1.043,1.502,2.044,2.67,3.4,4.303,5.313,7.65,13.6;0.625,0.75,0.875,1,1.128,1.27,1.41,1.693,2.257;0.31,0.44,0.6,0.79,1,1.27,1.56,2.25,4}</definedName>
    <definedName name="getAddressOf">_xlfn.LAMBDA(_xlpm.Cell,ADDRESS(ROW(_xlpm.Cell),COLUMN(_xlpm.Cell)))</definedName>
    <definedName name="getBarArea" comment="Gets the area of the given bar size. A &quot;#&quot; can be prepended or excluded from the size parameter without issue.">_xlfn.LAMBDA(_xlpm.size, INDEX(arrBars, 4, MATCH(INT(SUBSTITUTE(_xlpm.size,"#","")), INDEX(arrBars,1))))</definedName>
    <definedName name="getBarDiameter" comment="Gets the diamater of the given bar size. A &quot;#&quot; can be prepended or excluded from the size parameter without issue.">_xlfn.LAMBDA(_xlpm.size, INDEX(arrBars, 3, MATCH(INT(SUBSTITUTE(_xlpm.size,"#","")), INDEX(arrBars,1))))</definedName>
    <definedName name="getBarWeight" comment="Gets the weight of the given bar size. A &quot;#&quot; can be prepended or excluded from the size parameter without issue.">_xlfn.LAMBDA(_xlpm.size, INDEX(arrBars, 2, MATCH(INT(SUBSTITUTE(_xlpm.size,"#","")), INDEX(arrBars,1))))</definedName>
    <definedName name="getRangeFromTwoCells">_xlfn.LAMBDA(_xlpm.cell1,_xlpm.cell2,_xlfn.CONCAT(ADDRESS(ROW(_xlpm.cell1),COLUMN(_xlpm.cell1)),":",ADDRESS(ROW(_xlpm.cell2),COLUMN(_xlpm.cell2))))</definedName>
    <definedName name="inStr" comment="Check if string1 is in string2. Returns boolean for the result">_xlfn.LAMBDA(_xlpm.keyword,_xlpm.str, NOT(ISERROR(SEARCH(T(_xlpm.keyword),T(_xlpm.str)))))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Q9" i="1" l="1" a="1"/>
  <c r="Q9" i="1" s="1"/>
  <c r="P9" i="1" a="1"/>
  <c r="P9" i="1" s="1"/>
  <c r="Q8" i="1" a="1"/>
  <c r="Q8" i="1" s="1"/>
  <c r="P8" i="1" a="1"/>
  <c r="P8" i="1" s="1"/>
  <c r="Q7" i="1" a="1"/>
  <c r="Q7" i="1" s="1"/>
  <c r="P7" i="1" a="1"/>
  <c r="P7" i="1" s="1"/>
  <c r="M7" i="1" a="1"/>
  <c r="M7" i="1" s="1"/>
  <c r="O9" i="1" a="1"/>
  <c r="O9" i="1" s="1"/>
  <c r="O8" i="1" a="1"/>
  <c r="O8" i="1" s="1"/>
  <c r="O7" i="1" a="1"/>
  <c r="O7" i="1" s="1"/>
  <c r="N7" i="1" a="1"/>
  <c r="N7" i="1" s="1"/>
  <c r="M8" i="1" l="1" a="1"/>
  <c r="M8" i="1" s="1"/>
  <c r="N9" i="1" a="1"/>
  <c r="N9" i="1" s="1"/>
  <c r="N8" i="1" a="1"/>
  <c r="N8" i="1" s="1"/>
  <c r="M9" i="1" a="1"/>
  <c r="M9" i="1" s="1"/>
  <c r="F11" i="1" a="1"/>
  <c r="F11" i="1"/>
  <c r="C7" i="2" l="1" a="1"/>
  <c r="C7" i="2" s="1"/>
  <c r="C6" i="2" a="1"/>
  <c r="C6" i="2" s="1"/>
  <c r="C5" i="2" a="1"/>
  <c r="C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<sst xmlns="http://schemas.openxmlformats.org/spreadsheetml/2006/main" count="64" uniqueCount="23">
  <si>
    <t>idxs</t>
  </si>
  <si>
    <t>B</t>
  </si>
  <si>
    <t>C</t>
  </si>
  <si>
    <t>Development States</t>
  </si>
  <si>
    <t>Debug Mode</t>
  </si>
  <si>
    <t>Error Handler Mode</t>
  </si>
  <si>
    <t>Miles of Code</t>
  </si>
  <si>
    <t>Cell References</t>
  </si>
  <si>
    <t xml:space="preserve">debugMode </t>
  </si>
  <si>
    <t xml:space="preserve">milesOfCode </t>
  </si>
  <si>
    <t xml:space="preserve">errHandlerMode </t>
  </si>
  <si>
    <t xml:space="preserve">        </t>
  </si>
  <si>
    <t xml:space="preserve">      </t>
  </si>
  <si>
    <t xml:space="preserve">          </t>
  </si>
  <si>
    <t>A</t>
  </si>
  <si>
    <t>dog</t>
  </si>
  <si>
    <t>cat</t>
  </si>
  <si>
    <t>bird</t>
  </si>
  <si>
    <t>sum</t>
  </si>
  <si>
    <t>count</t>
  </si>
  <si>
    <t>mean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</si>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</sst>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Tahoma"/>
      <family val="2"/>
    </font>
    <font>
      <sz val="11"/>
      <name val="Tahoma"/>
      <family val="2"/>
    </font>
    <font>
      <b/>
      <sz val="11"/>
      <color theme="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 applyAlignment="1">
      <alignment horizontal="right"/>
    </xf>
    <xf numFmtId="0" fontId="0" fillId="2" borderId="14" xfId="0" applyFill="1" applyBorder="1" applyAlignment="1">
      <alignment horizontal="left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1" fontId="0" fillId="0" borderId="0" xfId="0" applyNumberFormat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39744</xdr:colOff>
      <xdr:row>1</xdr:row>
      <xdr:rowOff>85725</xdr:rowOff>
    </xdr:from>
    <xdr:to>
      <xdr:col>14</xdr:col>
      <xdr:colOff>321577</xdr:colOff>
      <xdr:row>13</xdr:row>
      <xdr:rowOff>174689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7D9AE14-8E63-8FE0-FC88-82248A8736DC}"/>
            </a:ext>
          </a:extLst>
        </xdr:cNvPr>
        <xdr:cNvGrpSpPr/>
      </xdr:nvGrpSpPr>
      <xdr:grpSpPr>
        <a:xfrm>
          <a:off x="2956365" y="276225"/>
          <a:ext cx="6390971" cy="2466930"/>
          <a:chOff x="1307553" y="630949"/>
          <a:chExt cx="6390971" cy="245379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14528F04-7968-4777-8377-635F5BB688CE}"/>
              </a:ext>
            </a:extLst>
          </xdr:cNvPr>
          <xdr:cNvGrpSpPr/>
        </xdr:nvGrpSpPr>
        <xdr:grpSpPr>
          <a:xfrm>
            <a:off x="1307553" y="630949"/>
            <a:ext cx="6390971" cy="2453792"/>
            <a:chOff x="1126435" y="3518014"/>
            <a:chExt cx="6377609" cy="2362639"/>
          </a:xfrm>
        </xdr:grpSpPr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2B8F5001-568A-8D87-0960-E980C9D10E5C}"/>
                </a:ext>
              </a:extLst>
            </xdr:cNvPr>
            <xdr:cNvGrpSpPr/>
          </xdr:nvGrpSpPr>
          <xdr:grpSpPr>
            <a:xfrm>
              <a:off x="1126436" y="3518014"/>
              <a:ext cx="6377608" cy="358250"/>
              <a:chOff x="12097363" y="7986732"/>
              <a:chExt cx="10362456" cy="355474"/>
            </a:xfrm>
          </xdr:grpSpPr>
          <xdr:sp macro="" textlink="">
            <xdr:nvSpPr>
              <xdr:cNvPr id="5" name="Rectangle 4">
                <a:extLst>
                  <a:ext uri="{FF2B5EF4-FFF2-40B4-BE49-F238E27FC236}">
                    <a16:creationId xmlns:a16="http://schemas.microsoft.com/office/drawing/2014/main" id="{19BE207C-DC90-672A-E68B-D8D57E6932BD}"/>
                  </a:ext>
                </a:extLst>
              </xdr:cNvPr>
              <xdr:cNvSpPr/>
            </xdr:nvSpPr>
            <xdr:spPr>
              <a:xfrm>
                <a:off x="12097363" y="7986732"/>
                <a:ext cx="10362456" cy="355474"/>
              </a:xfrm>
              <a:prstGeom prst="rect">
                <a:avLst/>
              </a:prstGeom>
              <a:solidFill>
                <a:schemeClr val="tx1"/>
              </a:solidFill>
              <a:ln w="28575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" name="Rectangle 5">
                <a:extLst>
                  <a:ext uri="{FF2B5EF4-FFF2-40B4-BE49-F238E27FC236}">
                    <a16:creationId xmlns:a16="http://schemas.microsoft.com/office/drawing/2014/main" id="{0433F65C-5C06-5F19-1F9E-C80E2DD919DE}"/>
                  </a:ext>
                </a:extLst>
              </xdr:cNvPr>
              <xdr:cNvSpPr/>
            </xdr:nvSpPr>
            <xdr:spPr>
              <a:xfrm>
                <a:off x="14099832" y="8045677"/>
                <a:ext cx="6303541" cy="259987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Pseudo Pandas Developer Tools</a:t>
                </a:r>
              </a:p>
            </xdr:txBody>
          </xdr:sp>
        </xdr:grpSp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86B4BED2-416F-B4F6-1011-897A0D834672}"/>
                </a:ext>
              </a:extLst>
            </xdr:cNvPr>
            <xdr:cNvSpPr/>
          </xdr:nvSpPr>
          <xdr:spPr>
            <a:xfrm>
              <a:off x="1126435" y="3876261"/>
              <a:ext cx="6377609" cy="2004392"/>
            </a:xfrm>
            <a:prstGeom prst="rect">
              <a:avLst/>
            </a:prstGeom>
            <a:solidFill>
              <a:sysClr val="window" lastClr="FFFFFF"/>
            </a:solidFill>
            <a:ln w="2857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6055D2F-5572-467B-97B0-8E755A6C313B}"/>
              </a:ext>
            </a:extLst>
          </xdr:cNvPr>
          <xdr:cNvGrpSpPr/>
        </xdr:nvGrpSpPr>
        <xdr:grpSpPr>
          <a:xfrm>
            <a:off x="1421196" y="1081580"/>
            <a:ext cx="1251112" cy="1887514"/>
            <a:chOff x="3743103" y="4328299"/>
            <a:chExt cx="1248442" cy="1817397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F5F63636-CC15-F5E6-91AF-D68D6513EF3B}"/>
                </a:ext>
              </a:extLst>
            </xdr:cNvPr>
            <xdr:cNvSpPr/>
          </xdr:nvSpPr>
          <xdr:spPr>
            <a:xfrm>
              <a:off x="3743103" y="4508087"/>
              <a:ext cx="1241334" cy="1637609"/>
            </a:xfrm>
            <a:prstGeom prst="rect">
              <a:avLst/>
            </a:prstGeom>
            <a:solidFill>
              <a:sysClr val="window" lastClr="FFFFFF"/>
            </a:solidFill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gitExportVBComponents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1A514C31-F557-B2E5-7963-5293D727EA9A}"/>
                </a:ext>
              </a:extLst>
            </xdr:cNvPr>
            <xdr:cNvSpPr/>
          </xdr:nvSpPr>
          <xdr:spPr>
            <a:xfrm>
              <a:off x="3852718" y="4595477"/>
              <a:ext cx="1030356" cy="312420"/>
            </a:xfrm>
            <a:prstGeom prst="rect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coolSlant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aseline="0">
                  <a:solidFill>
                    <a:schemeClr val="bg1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Git Export</a:t>
              </a:r>
              <a:endParaRPr lang="en-US" sz="110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17D4E1C9-EE19-3BB8-4FD1-34DDACD3A42F}"/>
                </a:ext>
              </a:extLst>
            </xdr:cNvPr>
            <xdr:cNvSpPr/>
          </xdr:nvSpPr>
          <xdr:spPr>
            <a:xfrm>
              <a:off x="3754571" y="4328299"/>
              <a:ext cx="1236974" cy="16852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rgbClr val="595959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GIT</a:t>
              </a:r>
              <a:r>
                <a:rPr lang="en-US" sz="1100" baseline="0">
                  <a:solidFill>
                    <a:srgbClr val="595959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 FEATURES</a:t>
              </a:r>
              <a:endParaRPr lang="en-US" sz="1100">
                <a:solidFill>
                  <a:srgbClr val="595959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BEFF2B0D-883F-46B5-BD15-67BE539212A2}"/>
              </a:ext>
            </a:extLst>
          </xdr:cNvPr>
          <xdr:cNvGrpSpPr/>
        </xdr:nvGrpSpPr>
        <xdr:grpSpPr>
          <a:xfrm>
            <a:off x="2778672" y="1044466"/>
            <a:ext cx="3257409" cy="1924706"/>
            <a:chOff x="5449835" y="2755202"/>
            <a:chExt cx="3257409" cy="1892627"/>
          </a:xfrm>
        </xdr:grpSpPr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4148BED0-9BCA-DC68-0CAB-90ECC3346324}"/>
                </a:ext>
              </a:extLst>
            </xdr:cNvPr>
            <xdr:cNvGrpSpPr/>
          </xdr:nvGrpSpPr>
          <xdr:grpSpPr>
            <a:xfrm>
              <a:off x="5449835" y="2755202"/>
              <a:ext cx="3257409" cy="1892627"/>
              <a:chOff x="5720931" y="3304722"/>
              <a:chExt cx="3257409" cy="1892627"/>
            </a:xfrm>
          </xdr:grpSpPr>
          <xdr:sp macro="" textlink="">
            <xdr:nvSpPr>
              <xdr:cNvPr id="22" name="Rectangle 21">
                <a:extLst>
                  <a:ext uri="{FF2B5EF4-FFF2-40B4-BE49-F238E27FC236}">
                    <a16:creationId xmlns:a16="http://schemas.microsoft.com/office/drawing/2014/main" id="{70EC29DB-ECED-8154-5426-C189F6EBDD95}"/>
                  </a:ext>
                </a:extLst>
              </xdr:cNvPr>
              <xdr:cNvSpPr/>
            </xdr:nvSpPr>
            <xdr:spPr>
              <a:xfrm>
                <a:off x="5720931" y="3304722"/>
                <a:ext cx="3257409" cy="22781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>
                    <a:solidFill>
                      <a:srgbClr val="595959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DEBUGGING</a:t>
                </a:r>
              </a:p>
            </xdr:txBody>
          </xdr:sp>
          <xdr:sp macro="" textlink="">
            <xdr:nvSpPr>
              <xdr:cNvPr id="23" name="Rectangle 22">
                <a:extLst>
                  <a:ext uri="{FF2B5EF4-FFF2-40B4-BE49-F238E27FC236}">
                    <a16:creationId xmlns:a16="http://schemas.microsoft.com/office/drawing/2014/main" id="{C72DB6F6-CC7A-EDA1-8D21-4F7C1283E37C}"/>
                  </a:ext>
                </a:extLst>
              </xdr:cNvPr>
              <xdr:cNvSpPr/>
            </xdr:nvSpPr>
            <xdr:spPr>
              <a:xfrm>
                <a:off x="5725560" y="3523125"/>
                <a:ext cx="3241468" cy="1674224"/>
              </a:xfrm>
              <a:prstGeom prst="rect">
                <a:avLst/>
              </a:prstGeom>
              <a:solidFill>
                <a:sysClr val="window" lastClr="FFFFFF"/>
              </a:solidFill>
              <a:ln w="190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F180571D-992A-FF77-C058-64D208BC9412}"/>
                </a:ext>
              </a:extLst>
            </xdr:cNvPr>
            <xdr:cNvGrpSpPr/>
          </xdr:nvGrpSpPr>
          <xdr:grpSpPr>
            <a:xfrm>
              <a:off x="5596377" y="3082351"/>
              <a:ext cx="2961571" cy="768323"/>
              <a:chOff x="5713608" y="745063"/>
              <a:chExt cx="2961571" cy="768323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48221158-F188-F653-4846-CC8504C94D34}"/>
                  </a:ext>
                </a:extLst>
              </xdr:cNvPr>
              <xdr:cNvSpPr/>
            </xdr:nvSpPr>
            <xdr:spPr>
              <a:xfrm>
                <a:off x="5715870" y="745063"/>
                <a:ext cx="1432909" cy="324473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 prst="coolSlant"/>
              </a:sp3d>
            </xdr:spPr>
            <xdr:style>
              <a:lnRef idx="0">
                <a:schemeClr val="accent5"/>
              </a:lnRef>
              <a:fillRef idx="3">
                <a:schemeClr val="accent5"/>
              </a:fillRef>
              <a:effectRef idx="3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 baseline="0">
                    <a:solidFill>
                      <a:schemeClr val="bg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Toggle Debug Mode</a:t>
                </a:r>
              </a:p>
            </xdr:txBody>
          </xdr:sp>
          <xdr:sp macro="" textlink="">
            <xdr:nvSpPr>
              <xdr:cNvPr id="15" name="Rectangle 14">
                <a:extLst>
                  <a:ext uri="{FF2B5EF4-FFF2-40B4-BE49-F238E27FC236}">
                    <a16:creationId xmlns:a16="http://schemas.microsoft.com/office/drawing/2014/main" id="{DD609B9D-B081-5DCC-2C81-60E1F865C457}"/>
                  </a:ext>
                </a:extLst>
              </xdr:cNvPr>
              <xdr:cNvSpPr/>
            </xdr:nvSpPr>
            <xdr:spPr>
              <a:xfrm>
                <a:off x="5713608" y="1188913"/>
                <a:ext cx="1434866" cy="324473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 prst="coolSlant"/>
              </a:sp3d>
            </xdr:spPr>
            <xdr:style>
              <a:lnRef idx="0">
                <a:schemeClr val="accent5"/>
              </a:lnRef>
              <a:fillRef idx="3">
                <a:schemeClr val="accent5"/>
              </a:fillRef>
              <a:effectRef idx="3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 baseline="0">
                    <a:solidFill>
                      <a:schemeClr val="bg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Print Miles of Code</a:t>
                </a:r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E6395C8D-477F-4533-0BB4-737ECD18CC0B}"/>
                  </a:ext>
                </a:extLst>
              </xdr:cNvPr>
              <xdr:cNvSpPr/>
            </xdr:nvSpPr>
            <xdr:spPr>
              <a:xfrm>
                <a:off x="7242270" y="753488"/>
                <a:ext cx="1432909" cy="324473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 prst="coolSlant"/>
              </a:sp3d>
            </xdr:spPr>
            <xdr:style>
              <a:lnRef idx="0">
                <a:schemeClr val="accent5"/>
              </a:lnRef>
              <a:fillRef idx="3">
                <a:schemeClr val="accent5"/>
              </a:fillRef>
              <a:effectRef idx="3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 baseline="0">
                    <a:solidFill>
                      <a:schemeClr val="bg1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Toggle Error Handle</a:t>
                </a:r>
              </a:p>
            </xdr:txBody>
          </xdr:sp>
        </xdr:grpSp>
      </xdr:grpSp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A097D-4291-407E-9AFF-5BF684DD220D}">
  <sheetPr codeName="Sheet2"/>
  <dimension ref="A1:BG246"/>
  <sheetViews>
    <sheetView tabSelected="1" zoomScale="145" zoomScaleNormal="145" workbookViewId="0">
      <selection activeCell="G20" sqref="G20"/>
    </sheetView>
  </sheetViews>
  <sheetFormatPr defaultRowHeight="15" x14ac:dyDescent="0.25"/>
  <cols>
    <col min="2" max="2" width="16.28515625" bestFit="1" customWidth="1"/>
    <col min="15" max="15" width="9.140625" customWidth="1"/>
    <col min="16" max="16" width="2.85546875" customWidth="1"/>
    <col min="17" max="17" width="13.5703125" bestFit="1" customWidth="1"/>
    <col min="18" max="18" width="19.5703125" bestFit="1" customWidth="1"/>
    <col min="19" max="19" width="13.140625" customWidth="1"/>
    <col min="20" max="20" width="2.85546875" customWidth="1"/>
  </cols>
  <sheetData>
    <row r="1" spans="1:5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</row>
    <row r="2" spans="1:5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</row>
    <row r="3" spans="1:59" ht="15.75" thickBo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</row>
    <row r="4" spans="1:59" ht="16.5" thickTop="1" thickBot="1" x14ac:dyDescent="0.3">
      <c r="A4" s="3"/>
      <c r="B4" s="27" t="s">
        <v>7</v>
      </c>
      <c r="C4" s="27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24" t="s">
        <v>3</v>
      </c>
      <c r="Q4" s="25"/>
      <c r="R4" s="25"/>
      <c r="S4" s="25"/>
      <c r="T4" s="26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</row>
    <row r="5" spans="1:59" ht="16.5" thickTop="1" thickBot="1" x14ac:dyDescent="0.3">
      <c r="A5" s="3"/>
      <c r="B5" s="14" t="s">
        <v>8</v>
      </c>
      <c r="C5" s="15" t="str" cm="1">
        <f t="array" ref="C5">getAddressOf(Q7)</f>
        <v>$Q$7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4"/>
      <c r="Q5" s="5"/>
      <c r="R5" s="5"/>
      <c r="S5" s="5"/>
      <c r="T5" s="6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</row>
    <row r="6" spans="1:59" ht="15.75" thickBot="1" x14ac:dyDescent="0.3">
      <c r="A6" s="3"/>
      <c r="B6" s="14" t="s">
        <v>9</v>
      </c>
      <c r="C6" s="15" t="str" cm="1">
        <f t="array" ref="C6">getAddressOf(Q10)</f>
        <v>$Q$10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7"/>
      <c r="Q6" s="16" t="s">
        <v>4</v>
      </c>
      <c r="R6" s="17" t="s">
        <v>5</v>
      </c>
      <c r="S6" s="18"/>
      <c r="T6" s="8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</row>
    <row r="7" spans="1:59" ht="15.75" thickBot="1" x14ac:dyDescent="0.3">
      <c r="A7" s="3"/>
      <c r="B7" s="14" t="s">
        <v>10</v>
      </c>
      <c r="C7" s="15" t="str" cm="1">
        <f t="array" ref="C7">getAddressOf(R7)</f>
        <v>$R$7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7"/>
      <c r="Q7" s="19" t="b">
        <v>1</v>
      </c>
      <c r="R7" s="21" t="b">
        <v>0</v>
      </c>
      <c r="S7" s="20"/>
      <c r="T7" s="8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</row>
    <row r="8" spans="1:59" ht="15.75" thickBot="1" x14ac:dyDescent="0.3">
      <c r="A8" s="3"/>
      <c r="B8" s="14"/>
      <c r="C8" s="15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7"/>
      <c r="Q8" s="3"/>
      <c r="R8" s="3"/>
      <c r="S8" s="3"/>
      <c r="T8" s="8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</row>
    <row r="9" spans="1:59" ht="15.75" thickBot="1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7"/>
      <c r="Q9" s="16" t="s">
        <v>6</v>
      </c>
      <c r="R9" s="17"/>
      <c r="S9" s="18"/>
      <c r="T9" s="8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</row>
    <row r="10" spans="1:59" ht="15.75" thickBot="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9"/>
      <c r="Q10" s="19"/>
      <c r="R10" s="21"/>
      <c r="S10" s="20"/>
      <c r="T10" s="10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</row>
    <row r="11" spans="1:59" ht="15.75" thickBot="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11"/>
      <c r="Q11" s="12"/>
      <c r="R11" s="12"/>
      <c r="S11" s="12"/>
      <c r="T11" s="1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</row>
    <row r="12" spans="1:59" ht="15.75" thickTop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</row>
    <row r="13" spans="1:59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</row>
    <row r="14" spans="1:59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</row>
    <row r="15" spans="1:59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</row>
    <row r="16" spans="1:5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</row>
    <row r="17" spans="1:59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</row>
    <row r="18" spans="1:59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</row>
    <row r="19" spans="1:59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</row>
    <row r="20" spans="1:59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</row>
    <row r="21" spans="1:59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</row>
    <row r="22" spans="1:59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</row>
    <row r="23" spans="1:59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</row>
    <row r="24" spans="1:59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</row>
    <row r="25" spans="1:59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</row>
    <row r="26" spans="1:59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</row>
    <row r="27" spans="1:59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</row>
    <row r="28" spans="1:5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</row>
    <row r="29" spans="1:5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</row>
    <row r="30" spans="1:5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</row>
    <row r="31" spans="1:5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</row>
    <row r="32" spans="1:5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</row>
    <row r="33" spans="1:59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</row>
    <row r="34" spans="1:59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</row>
    <row r="35" spans="1:5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</row>
    <row r="36" spans="1:5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</row>
    <row r="37" spans="1:5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</row>
    <row r="38" spans="1:5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</row>
    <row r="39" spans="1:5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</row>
    <row r="40" spans="1:5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</row>
    <row r="41" spans="1:5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</row>
    <row r="42" spans="1:5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</row>
    <row r="43" spans="1:59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</row>
    <row r="44" spans="1:59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</row>
    <row r="45" spans="1:59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</row>
    <row r="46" spans="1:59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</row>
    <row r="47" spans="1:59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</row>
    <row r="48" spans="1:59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</row>
    <row r="49" spans="1:59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</row>
    <row r="50" spans="1:59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</row>
    <row r="51" spans="1:59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</row>
    <row r="52" spans="1:59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</row>
    <row r="53" spans="1:59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</row>
    <row r="54" spans="1:59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</row>
    <row r="55" spans="1:59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</row>
    <row r="56" spans="1:59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</row>
    <row r="57" spans="1:59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</row>
    <row r="58" spans="1:59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</row>
    <row r="59" spans="1:59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</row>
    <row r="60" spans="1:59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</row>
    <row r="61" spans="1:59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</row>
    <row r="62" spans="1:59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</row>
    <row r="63" spans="1:59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</row>
    <row r="64" spans="1:59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</row>
    <row r="65" spans="1:59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</row>
    <row r="66" spans="1:59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</row>
    <row r="67" spans="1:59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</row>
    <row r="68" spans="1:59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</row>
    <row r="69" spans="1:59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</row>
    <row r="70" spans="1:59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</row>
    <row r="71" spans="1:59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</row>
    <row r="72" spans="1:59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</row>
    <row r="73" spans="1:59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</row>
    <row r="74" spans="1:59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</row>
    <row r="75" spans="1:59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</row>
    <row r="76" spans="1:59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</row>
    <row r="77" spans="1:59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</row>
    <row r="78" spans="1:59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</row>
    <row r="79" spans="1:59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</row>
    <row r="80" spans="1:59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</row>
    <row r="81" spans="1:59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</row>
    <row r="82" spans="1:59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</row>
    <row r="83" spans="1:59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</row>
    <row r="84" spans="1:59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</row>
    <row r="85" spans="1:59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</row>
    <row r="86" spans="1:59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</row>
    <row r="87" spans="1:59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</row>
    <row r="88" spans="1:59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</row>
    <row r="89" spans="1:59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</row>
    <row r="90" spans="1:59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</row>
    <row r="91" spans="1:59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</row>
    <row r="92" spans="1:59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</row>
    <row r="93" spans="1:59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</row>
    <row r="94" spans="1:59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</row>
    <row r="95" spans="1:59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</row>
    <row r="96" spans="1:59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</row>
    <row r="97" spans="1:59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</row>
    <row r="98" spans="1:59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</row>
    <row r="99" spans="1:59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</row>
    <row r="100" spans="1:59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</row>
    <row r="101" spans="1:59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</row>
    <row r="102" spans="1:59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</row>
    <row r="103" spans="1:59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</row>
    <row r="104" spans="1:59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</row>
    <row r="105" spans="1:59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</row>
    <row r="106" spans="1:59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</row>
    <row r="107" spans="1:59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</row>
    <row r="108" spans="1:59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</row>
    <row r="109" spans="1:59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</row>
    <row r="110" spans="1:59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</row>
    <row r="111" spans="1:59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</row>
    <row r="112" spans="1:59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</row>
    <row r="113" spans="1:59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</row>
    <row r="114" spans="1:59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</row>
    <row r="115" spans="1:59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</row>
    <row r="116" spans="1:59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</row>
    <row r="117" spans="1:59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</row>
    <row r="118" spans="1:59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</row>
    <row r="119" spans="1:59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</row>
    <row r="120" spans="1:59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</row>
    <row r="121" spans="1:59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</row>
    <row r="122" spans="1:59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</row>
    <row r="123" spans="1:59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</row>
    <row r="124" spans="1:59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</row>
    <row r="125" spans="1:59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</row>
    <row r="126" spans="1:59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</row>
    <row r="127" spans="1:59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</row>
    <row r="128" spans="1:59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</row>
    <row r="129" spans="1:59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</row>
    <row r="130" spans="1:59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</row>
    <row r="131" spans="1:59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</row>
    <row r="132" spans="1:59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</row>
    <row r="133" spans="1:59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</row>
    <row r="134" spans="1:59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</row>
    <row r="135" spans="1:59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</row>
    <row r="136" spans="1:59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</row>
    <row r="137" spans="1:59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</row>
    <row r="138" spans="1:59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</row>
    <row r="139" spans="1:59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</row>
    <row r="140" spans="1:59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</row>
    <row r="141" spans="1:59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</row>
    <row r="142" spans="1:59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</row>
    <row r="143" spans="1:59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</row>
    <row r="144" spans="1:59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</row>
    <row r="145" spans="1:59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</row>
    <row r="146" spans="1:59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</row>
    <row r="147" spans="1:59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</row>
    <row r="148" spans="1:59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</row>
    <row r="149" spans="1:59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</row>
    <row r="150" spans="1:59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</row>
    <row r="151" spans="1:59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</row>
    <row r="152" spans="1:59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</row>
    <row r="153" spans="1:59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</row>
    <row r="154" spans="1:59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</row>
    <row r="155" spans="1:59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</row>
    <row r="156" spans="1:59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</row>
    <row r="157" spans="1:59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</row>
    <row r="158" spans="1:59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</row>
    <row r="159" spans="1:59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</row>
    <row r="160" spans="1:59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</row>
    <row r="161" spans="1:59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</row>
    <row r="162" spans="1:59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</row>
    <row r="163" spans="1:59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</row>
    <row r="164" spans="1:59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</row>
    <row r="165" spans="1:59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</row>
    <row r="166" spans="1:59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</row>
    <row r="167" spans="1:59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</row>
    <row r="168" spans="1:59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</row>
    <row r="169" spans="1:59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</row>
    <row r="170" spans="1:59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</row>
    <row r="171" spans="1:59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</row>
    <row r="172" spans="1:59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</row>
    <row r="173" spans="1:59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</row>
    <row r="174" spans="1:59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</row>
    <row r="175" spans="1:59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</row>
    <row r="176" spans="1:59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</row>
    <row r="177" spans="1:59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</row>
    <row r="178" spans="1:59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</row>
    <row r="179" spans="1:59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</row>
    <row r="180" spans="1:59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</row>
    <row r="181" spans="1:59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</row>
    <row r="182" spans="1:59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</row>
    <row r="183" spans="1:59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</row>
    <row r="184" spans="1:59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</row>
    <row r="185" spans="1:59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</row>
    <row r="186" spans="1:59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</row>
    <row r="187" spans="1:59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</row>
    <row r="188" spans="1:59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</row>
    <row r="189" spans="1:59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</row>
    <row r="190" spans="1:59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</row>
    <row r="191" spans="1:59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</row>
    <row r="192" spans="1:59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</row>
    <row r="193" spans="1:59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</row>
    <row r="194" spans="1:59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</row>
    <row r="195" spans="1:59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</row>
    <row r="196" spans="1:59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</row>
    <row r="197" spans="1:59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</row>
    <row r="198" spans="1:59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</row>
    <row r="199" spans="1:59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</row>
    <row r="200" spans="1:59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</row>
    <row r="201" spans="1:59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</row>
    <row r="202" spans="1:59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</row>
    <row r="203" spans="1:59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</row>
    <row r="204" spans="1:59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</row>
    <row r="205" spans="1:59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</row>
    <row r="206" spans="1:59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</row>
    <row r="207" spans="1:59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</row>
    <row r="208" spans="1:59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</row>
    <row r="209" spans="1:59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</row>
    <row r="210" spans="1:59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</row>
    <row r="211" spans="1:59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</row>
    <row r="212" spans="1:59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</row>
    <row r="213" spans="1:59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</row>
    <row r="214" spans="1:59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</row>
    <row r="215" spans="1:59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</row>
    <row r="216" spans="1:59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</row>
    <row r="217" spans="1:59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</row>
    <row r="218" spans="1:59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</row>
    <row r="219" spans="1:59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</row>
    <row r="220" spans="1:59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</row>
    <row r="221" spans="1:59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</row>
    <row r="222" spans="1:59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</row>
    <row r="223" spans="1:59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</row>
    <row r="224" spans="1:59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</row>
    <row r="225" spans="1:59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</row>
    <row r="226" spans="1:59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</row>
    <row r="227" spans="1:59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</row>
    <row r="228" spans="1:59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</row>
    <row r="229" spans="1:59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</row>
    <row r="230" spans="1:59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</row>
    <row r="231" spans="1:59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</row>
    <row r="232" spans="1:59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</row>
    <row r="233" spans="1:59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</row>
    <row r="234" spans="1:59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</row>
    <row r="235" spans="1:59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</row>
    <row r="236" spans="1:59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</row>
    <row r="237" spans="1:59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</row>
    <row r="238" spans="1:59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</row>
    <row r="239" spans="1:59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</row>
    <row r="240" spans="1:59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</row>
    <row r="241" spans="1:59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</row>
    <row r="242" spans="1:59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</row>
    <row r="243" spans="1:59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</row>
    <row r="244" spans="1:59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</row>
    <row r="245" spans="1:59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</row>
    <row r="246" spans="1:59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</row>
  </sheetData>
  <mergeCells count="2">
    <mergeCell ref="P4:T4"/>
    <mergeCell ref="B4:C4"/>
  </mergeCells>
  <pageMargins left="0.7" right="0.7" top="0.75" bottom="0.75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0BCF-AFDE-4001-B8B8-C84E420CCA16}">
  <sheetPr codeName="Sheet1"/>
  <dimension ref="C6:Q27"/>
  <sheetViews>
    <sheetView workbookViewId="0">
      <selection activeCell="C37" sqref="C37"/>
    </sheetView>
  </sheetViews>
  <sheetFormatPr defaultRowHeight="15" x14ac:dyDescent="0.25"/>
  <cols>
    <col min="1" max="16384" width="9.140625" style="1"/>
  </cols>
  <sheetData>
    <row r="6" spans="3:17" x14ac:dyDescent="0.25">
      <c r="M6" s="1" t="s">
        <v>18</v>
      </c>
      <c r="N6" s="1" t="s">
        <v>19</v>
      </c>
      <c r="O6" s="1" t="s">
        <v>20</v>
      </c>
      <c r="P6" s="1" t="s">
        <v>21</v>
      </c>
      <c r="Q6" s="1" t="s">
        <v>22</v>
      </c>
    </row>
    <row r="7" spans="3:17" x14ac:dyDescent="0.25">
      <c r="C7" s="1" t="s">
        <v>0</v>
      </c>
      <c r="D7" s="1" t="s">
        <v>14</v>
      </c>
      <c r="E7" s="1" t="s">
        <v>1</v>
      </c>
      <c r="F7" s="1" t="s">
        <v>2</v>
      </c>
      <c r="H7" s="1" t="s">
        <v>14</v>
      </c>
      <c r="I7" s="1" t="s">
        <v>1</v>
      </c>
      <c r="J7" s="22" t="s">
        <v>2</v>
      </c>
      <c r="K7" s="22"/>
      <c r="L7" s="1" t="s">
        <v>15</v>
      </c>
      <c r="M7" s="1" cm="1">
        <f t="array" ref="M7">SUM(_xlfn._xlws.FILTER($E$8:$E$27,$D$8:$D$27= L7))</f>
        <v>26</v>
      </c>
      <c r="N7" s="1" cm="1">
        <f t="array" ref="N7">COUNT(_xlfn._xlws.FILTER($E$8:$E$27,$D$8:$D$27= $L7))</f>
        <v>6</v>
      </c>
      <c r="O7" s="1" cm="1">
        <f t="array" ref="O7">AVERAGE(_xlfn._xlws.FILTER($E$8:$E$27,$D$8:$D$27= $L7))</f>
        <v>4.333333333333333</v>
      </c>
      <c r="P7" s="1" cm="1">
        <f t="array" ref="P7">MIN(_xlfn._xlws.FILTER($E$8:$E$27,$D$8:$D$27= $L7))</f>
        <v>0</v>
      </c>
      <c r="Q7" s="1" cm="1">
        <f t="array" ref="Q7">MAX(_xlfn._xlws.FILTER($E$8:$E$27,$D$8:$D$27= $L7))</f>
        <v>6</v>
      </c>
    </row>
    <row r="8" spans="3:17" x14ac:dyDescent="0.25">
      <c r="C8" s="1">
        <v>0</v>
      </c>
      <c r="E8" s="23">
        <v>9</v>
      </c>
      <c r="F8" s="1">
        <v>-1</v>
      </c>
      <c r="I8" s="1">
        <v>9</v>
      </c>
      <c r="J8" s="1">
        <v>-1</v>
      </c>
      <c r="L8" s="1" t="s">
        <v>16</v>
      </c>
      <c r="M8" s="1" cm="1">
        <f t="array" ref="M8">SUM(_xlfn._xlws.FILTER($E$8:$E$27,$D$8:$D$27= L8))</f>
        <v>33</v>
      </c>
      <c r="N8" s="1" cm="1">
        <f t="array" ref="N8">COUNT(_xlfn._xlws.FILTER($E$8:$E$27,$D$8:$D$27= L8))</f>
        <v>7</v>
      </c>
      <c r="O8" s="1" cm="1">
        <f t="array" ref="O8">AVERAGE(_xlfn._xlws.FILTER($E$8:$E$27,$D$8:$D$27= $L8))</f>
        <v>4.7142857142857144</v>
      </c>
      <c r="P8" s="1" cm="1">
        <f t="array" ref="P8">MIN(_xlfn._xlws.FILTER($E$8:$E$27,$D$8:$D$27= $L8))</f>
        <v>2</v>
      </c>
      <c r="Q8" s="1" cm="1">
        <f t="array" ref="Q8">MAX(_xlfn._xlws.FILTER($E$8:$E$27,$D$8:$D$27= $L8))</f>
        <v>10</v>
      </c>
    </row>
    <row r="9" spans="3:17" x14ac:dyDescent="0.25">
      <c r="C9" s="1">
        <v>1</v>
      </c>
      <c r="D9" s="1" t="s">
        <v>16</v>
      </c>
      <c r="E9" s="23">
        <v>3</v>
      </c>
      <c r="H9" s="1" t="s">
        <v>16</v>
      </c>
      <c r="I9" s="1">
        <v>3</v>
      </c>
      <c r="L9" s="1" t="s">
        <v>17</v>
      </c>
      <c r="M9" s="1" cm="1">
        <f t="array" ref="M9">SUM(_xlfn._xlws.FILTER($E$8:$E$27,$D$8:$D$27= L9))</f>
        <v>20</v>
      </c>
      <c r="N9" s="1" cm="1">
        <f t="array" ref="N9">COUNT(_xlfn._xlws.FILTER($E$8:$E$27,$D$8:$D$27= L9))</f>
        <v>5</v>
      </c>
      <c r="O9" s="1" cm="1">
        <f t="array" ref="O9">AVERAGE(_xlfn._xlws.FILTER($E$8:$E$27,$D$8:$D$27= $L9))</f>
        <v>4</v>
      </c>
      <c r="P9" s="1" cm="1">
        <f t="array" ref="P9">MIN(_xlfn._xlws.FILTER($E$8:$E$27,$D$8:$D$27= $L9))</f>
        <v>0</v>
      </c>
      <c r="Q9" s="1" cm="1">
        <f t="array" ref="Q9">MAX(_xlfn._xlws.FILTER($E$8:$E$27,$D$8:$D$27= $L9))</f>
        <v>9</v>
      </c>
    </row>
    <row r="10" spans="3:17" x14ac:dyDescent="0.25">
      <c r="C10" s="1">
        <v>2</v>
      </c>
      <c r="D10" s="1" t="s">
        <v>17</v>
      </c>
      <c r="E10" s="23"/>
      <c r="F10" s="2">
        <v>-1</v>
      </c>
      <c r="H10" s="1" t="s">
        <v>17</v>
      </c>
      <c r="J10" s="1">
        <v>-1</v>
      </c>
    </row>
    <row r="11" spans="3:17" x14ac:dyDescent="0.25">
      <c r="C11" s="1">
        <v>3</v>
      </c>
      <c r="D11" s="1" t="s">
        <v>15</v>
      </c>
      <c r="E11" s="23">
        <v>5</v>
      </c>
      <c r="F11" s="1" t="e" cm="1">
        <f t="array" ref="F11">p</f>
        <v>#NAME?</v>
      </c>
      <c r="H11" s="1" t="s">
        <v>15</v>
      </c>
      <c r="I11" s="1">
        <v>5</v>
      </c>
    </row>
    <row r="12" spans="3:17" x14ac:dyDescent="0.25">
      <c r="C12" s="1">
        <v>4</v>
      </c>
      <c r="D12" s="1" t="s">
        <v>15</v>
      </c>
      <c r="E12" s="23">
        <v>6</v>
      </c>
      <c r="F12" s="1">
        <v>12</v>
      </c>
      <c r="H12" s="1" t="s">
        <v>15</v>
      </c>
      <c r="I12" s="1">
        <v>6</v>
      </c>
      <c r="J12" s="1">
        <v>12</v>
      </c>
    </row>
    <row r="13" spans="3:17" x14ac:dyDescent="0.25">
      <c r="C13" s="1">
        <v>5</v>
      </c>
      <c r="D13" s="1" t="s">
        <v>15</v>
      </c>
      <c r="E13" s="23">
        <v>0</v>
      </c>
      <c r="F13" s="2">
        <v>500</v>
      </c>
      <c r="H13" s="1" t="s">
        <v>15</v>
      </c>
      <c r="I13" s="1">
        <v>0</v>
      </c>
      <c r="J13" s="1">
        <v>500</v>
      </c>
    </row>
    <row r="14" spans="3:17" x14ac:dyDescent="0.25">
      <c r="C14" s="1">
        <v>6</v>
      </c>
      <c r="D14" s="1" t="s">
        <v>17</v>
      </c>
      <c r="E14" s="23">
        <v>9</v>
      </c>
      <c r="F14" s="1">
        <v>323</v>
      </c>
      <c r="H14" s="1" t="s">
        <v>17</v>
      </c>
      <c r="I14" s="1">
        <v>9</v>
      </c>
      <c r="J14" s="1">
        <v>323</v>
      </c>
    </row>
    <row r="15" spans="3:17" x14ac:dyDescent="0.25">
      <c r="C15" s="1">
        <v>7</v>
      </c>
      <c r="D15" s="1" t="s">
        <v>16</v>
      </c>
      <c r="E15" s="23">
        <v>10</v>
      </c>
      <c r="F15" s="1">
        <v>700</v>
      </c>
      <c r="H15" s="1" t="s">
        <v>16</v>
      </c>
      <c r="I15" s="1">
        <v>10</v>
      </c>
      <c r="J15" s="1">
        <v>700</v>
      </c>
      <c r="N15" s="1" t="s">
        <v>13</v>
      </c>
      <c r="O15" s="1" t="s">
        <v>11</v>
      </c>
      <c r="P15" s="1" t="s">
        <v>12</v>
      </c>
    </row>
    <row r="16" spans="3:17" x14ac:dyDescent="0.25">
      <c r="C16" s="1">
        <v>8</v>
      </c>
      <c r="D16" s="1" t="s">
        <v>15</v>
      </c>
      <c r="E16" s="23">
        <v>6</v>
      </c>
      <c r="F16" s="2">
        <v>800</v>
      </c>
      <c r="H16" s="1" t="s">
        <v>15</v>
      </c>
      <c r="I16" s="1">
        <v>6</v>
      </c>
      <c r="J16" s="1">
        <v>800</v>
      </c>
    </row>
    <row r="17" spans="3:10" x14ac:dyDescent="0.25">
      <c r="C17" s="1">
        <v>9</v>
      </c>
      <c r="D17" s="1" t="s">
        <v>15</v>
      </c>
      <c r="E17" s="23">
        <v>5</v>
      </c>
      <c r="F17" s="1">
        <v>900</v>
      </c>
      <c r="H17" s="1" t="s">
        <v>15</v>
      </c>
      <c r="I17" s="1">
        <v>5</v>
      </c>
      <c r="J17" s="1">
        <v>900</v>
      </c>
    </row>
    <row r="18" spans="3:10" x14ac:dyDescent="0.25">
      <c r="C18" s="1">
        <v>10</v>
      </c>
      <c r="D18" s="1" t="s">
        <v>17</v>
      </c>
      <c r="E18" s="23">
        <v>2</v>
      </c>
      <c r="F18" s="1">
        <v>1000</v>
      </c>
      <c r="H18" s="1" t="s">
        <v>17</v>
      </c>
      <c r="I18" s="1">
        <v>2</v>
      </c>
      <c r="J18" s="1">
        <v>1000</v>
      </c>
    </row>
    <row r="19" spans="3:10" x14ac:dyDescent="0.25">
      <c r="C19" s="1">
        <v>11</v>
      </c>
      <c r="D19" s="1" t="s">
        <v>16</v>
      </c>
      <c r="E19" s="23">
        <v>4</v>
      </c>
      <c r="F19" s="2">
        <v>12</v>
      </c>
      <c r="H19" s="1" t="s">
        <v>16</v>
      </c>
      <c r="I19" s="1">
        <v>4</v>
      </c>
      <c r="J19" s="1">
        <v>12</v>
      </c>
    </row>
    <row r="20" spans="3:10" x14ac:dyDescent="0.25">
      <c r="C20" s="1">
        <v>12</v>
      </c>
      <c r="D20" s="1" t="s">
        <v>17</v>
      </c>
      <c r="E20" s="23">
        <v>3</v>
      </c>
      <c r="F20" s="1">
        <v>1200</v>
      </c>
      <c r="H20" s="1" t="s">
        <v>17</v>
      </c>
      <c r="I20" s="1">
        <v>3</v>
      </c>
      <c r="J20" s="1">
        <v>1200</v>
      </c>
    </row>
    <row r="21" spans="3:10" x14ac:dyDescent="0.25">
      <c r="C21" s="1">
        <v>13</v>
      </c>
      <c r="D21" s="1" t="s">
        <v>17</v>
      </c>
      <c r="E21" s="23">
        <v>0</v>
      </c>
      <c r="F21" s="1">
        <v>1300</v>
      </c>
      <c r="H21" s="1" t="s">
        <v>17</v>
      </c>
      <c r="I21" s="1">
        <v>0</v>
      </c>
      <c r="J21" s="1">
        <v>1300</v>
      </c>
    </row>
    <row r="22" spans="3:10" x14ac:dyDescent="0.25">
      <c r="C22" s="1">
        <v>14</v>
      </c>
      <c r="D22" s="1" t="s">
        <v>16</v>
      </c>
      <c r="E22" s="23">
        <v>2</v>
      </c>
      <c r="F22" s="2">
        <v>1400</v>
      </c>
      <c r="H22" s="1" t="s">
        <v>16</v>
      </c>
      <c r="I22" s="1">
        <v>2</v>
      </c>
      <c r="J22" s="1">
        <v>1400</v>
      </c>
    </row>
    <row r="23" spans="3:10" x14ac:dyDescent="0.25">
      <c r="C23" s="1">
        <v>15</v>
      </c>
      <c r="D23" s="1" t="s">
        <v>16</v>
      </c>
      <c r="E23" s="23">
        <v>4</v>
      </c>
      <c r="F23" s="1">
        <v>1500</v>
      </c>
      <c r="H23" s="1" t="s">
        <v>16</v>
      </c>
      <c r="I23" s="1">
        <v>4</v>
      </c>
      <c r="J23" s="1">
        <v>1500</v>
      </c>
    </row>
    <row r="24" spans="3:10" x14ac:dyDescent="0.25">
      <c r="C24" s="1">
        <v>16</v>
      </c>
      <c r="D24" s="1" t="s">
        <v>15</v>
      </c>
      <c r="E24" s="23">
        <v>4</v>
      </c>
      <c r="F24" s="1">
        <v>1600</v>
      </c>
      <c r="H24" s="1" t="s">
        <v>15</v>
      </c>
      <c r="I24" s="1">
        <v>4</v>
      </c>
      <c r="J24" s="1">
        <v>1600</v>
      </c>
    </row>
    <row r="25" spans="3:10" x14ac:dyDescent="0.25">
      <c r="C25" s="1">
        <v>17</v>
      </c>
      <c r="D25" s="1" t="s">
        <v>16</v>
      </c>
      <c r="E25" s="23">
        <v>5</v>
      </c>
      <c r="F25" s="2">
        <v>1700</v>
      </c>
      <c r="H25" s="1" t="s">
        <v>16</v>
      </c>
      <c r="I25" s="1">
        <v>5</v>
      </c>
      <c r="J25" s="1">
        <v>1700</v>
      </c>
    </row>
    <row r="26" spans="3:10" x14ac:dyDescent="0.25">
      <c r="C26" s="1">
        <v>18</v>
      </c>
      <c r="D26" s="1" t="s">
        <v>16</v>
      </c>
      <c r="E26" s="23">
        <v>5</v>
      </c>
      <c r="F26" s="1">
        <v>1800</v>
      </c>
      <c r="H26" s="1" t="s">
        <v>16</v>
      </c>
      <c r="I26" s="1">
        <v>5</v>
      </c>
      <c r="J26" s="1">
        <v>1800</v>
      </c>
    </row>
    <row r="27" spans="3:10" x14ac:dyDescent="0.25">
      <c r="C27" s="1">
        <v>19</v>
      </c>
      <c r="D27" s="1" t="s">
        <v>17</v>
      </c>
      <c r="E27" s="23">
        <v>6</v>
      </c>
      <c r="F27" s="1">
        <v>1900</v>
      </c>
      <c r="H27" s="1" t="s">
        <v>17</v>
      </c>
      <c r="I27" s="1">
        <v>6</v>
      </c>
      <c r="J27" s="1">
        <v>1900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00D303-49CB-453E-9027-15882BB5E1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Developer Tools</vt:lpstr>
      <vt:lpstr>Sheet1</vt:lpstr>
    </vt:vector>
  </TitlesOfParts>
  <Company>Missouri Department of Transportation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T. Mann</dc:creator>
  <cp:lastModifiedBy>Michael T. Mann</cp:lastModifiedBy>
  <dcterms:created xsi:type="dcterms:W3CDTF">2026-09-22T20:58:57Z</dcterms:created>
  <dcterms:modified xsi:type="dcterms:W3CDTF">2026-10-19T14:57:57Z</dcterms:modified>
</cp:coreProperties>
</file>